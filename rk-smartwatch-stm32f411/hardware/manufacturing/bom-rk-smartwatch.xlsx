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Thinh Ha\Altium\Nha EPCB\Smart Watch\Design file\Project Outputs for Smart Watch RS1\Smart watch\"/>
    </mc:Choice>
  </mc:AlternateContent>
  <xr:revisionPtr revIDLastSave="0" documentId="8_{CF3693F2-B277-4F4C-8A97-F894EC33C7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Sheet1!$A$2:$L$41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1" l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 l="1"/>
  <c r="A3" i="1"/>
</calcChain>
</file>

<file path=xl/sharedStrings.xml><?xml version="1.0" encoding="utf-8"?>
<sst xmlns="http://schemas.openxmlformats.org/spreadsheetml/2006/main" count="364" uniqueCount="248">
  <si>
    <t>Link</t>
  </si>
  <si>
    <t>#</t>
  </si>
  <si>
    <t>Smart Watch RS1.PrjPcb</t>
  </si>
  <si>
    <t>Comment</t>
  </si>
  <si>
    <t>47uF</t>
  </si>
  <si>
    <t>0.1uF</t>
  </si>
  <si>
    <t>22pF</t>
  </si>
  <si>
    <t>4.7uF</t>
  </si>
  <si>
    <t>12pF</t>
  </si>
  <si>
    <t>1uF</t>
  </si>
  <si>
    <t>10nF</t>
  </si>
  <si>
    <t>1nF</t>
  </si>
  <si>
    <t>33nF</t>
  </si>
  <si>
    <t>1.5pF</t>
  </si>
  <si>
    <t>1pF</t>
  </si>
  <si>
    <t>2.2nF</t>
  </si>
  <si>
    <t>4.7pF</t>
  </si>
  <si>
    <t>BAT54C</t>
  </si>
  <si>
    <t>FPC-05F-18PH20</t>
  </si>
  <si>
    <t>3.9nH</t>
  </si>
  <si>
    <t>8.2nH</t>
  </si>
  <si>
    <t>2.7nH</t>
  </si>
  <si>
    <t>FUET-4020C</t>
  </si>
  <si>
    <t>MMBT3904</t>
  </si>
  <si>
    <t>SI2301</t>
  </si>
  <si>
    <t>SI2302CDS</t>
  </si>
  <si>
    <t>10k</t>
  </si>
  <si>
    <t>100k</t>
  </si>
  <si>
    <t>1k</t>
  </si>
  <si>
    <t>4.7k</t>
  </si>
  <si>
    <t>0R</t>
  </si>
  <si>
    <t>120R</t>
  </si>
  <si>
    <t>20k</t>
  </si>
  <si>
    <t>22k</t>
  </si>
  <si>
    <t>22R</t>
  </si>
  <si>
    <t>220R</t>
  </si>
  <si>
    <t>ME6208A30PG</t>
  </si>
  <si>
    <t>STM32F411CEU6</t>
  </si>
  <si>
    <t>BM8563EMA</t>
  </si>
  <si>
    <t>NRF24L01P-R</t>
  </si>
  <si>
    <t>8MHz</t>
  </si>
  <si>
    <t>32.768kHz</t>
  </si>
  <si>
    <t>16Mhz</t>
  </si>
  <si>
    <t>Designator</t>
  </si>
  <si>
    <t>C201, C202</t>
  </si>
  <si>
    <t>C203, C204, C303, C304, C305, C306, C307, C308, C312, C313, C318, C501, C502, C503</t>
  </si>
  <si>
    <t>C301, C302, C409, C410</t>
  </si>
  <si>
    <t>C309, C310, C311</t>
  </si>
  <si>
    <t>C314, C315</t>
  </si>
  <si>
    <t>C317, C401</t>
  </si>
  <si>
    <t>C319, C403</t>
  </si>
  <si>
    <t>C402</t>
  </si>
  <si>
    <t>C404</t>
  </si>
  <si>
    <t>C405</t>
  </si>
  <si>
    <t>C406</t>
  </si>
  <si>
    <t>C407</t>
  </si>
  <si>
    <t>C408</t>
  </si>
  <si>
    <t>D301</t>
  </si>
  <si>
    <t>J501</t>
  </si>
  <si>
    <t>L401</t>
  </si>
  <si>
    <t>L402</t>
  </si>
  <si>
    <t>L403</t>
  </si>
  <si>
    <t>LS301</t>
  </si>
  <si>
    <t>Q301</t>
  </si>
  <si>
    <t>Q302</t>
  </si>
  <si>
    <t>Q303, Q501</t>
  </si>
  <si>
    <t>R301, R302, R308, R311, R504</t>
  </si>
  <si>
    <t>R303</t>
  </si>
  <si>
    <t>R304, R503</t>
  </si>
  <si>
    <t>R305, R306</t>
  </si>
  <si>
    <t>R307, R401</t>
  </si>
  <si>
    <t>R309</t>
  </si>
  <si>
    <t>R310</t>
  </si>
  <si>
    <t>R402</t>
  </si>
  <si>
    <t>R403</t>
  </si>
  <si>
    <t>R501, R502</t>
  </si>
  <si>
    <t>U201</t>
  </si>
  <si>
    <t>U301</t>
  </si>
  <si>
    <t>U302</t>
  </si>
  <si>
    <t>U401</t>
  </si>
  <si>
    <t>X301</t>
  </si>
  <si>
    <t>X302</t>
  </si>
  <si>
    <t>X401</t>
  </si>
  <si>
    <t>Footprint</t>
  </si>
  <si>
    <t>CASE-B_3528</t>
  </si>
  <si>
    <t>C_0402</t>
  </si>
  <si>
    <t>SOT-23-3_L2.9-W1.6-P1.90-LS2.8-BR</t>
  </si>
  <si>
    <t>FPC-SMD_18P-P0.50_FPC-05F-18PH20</t>
  </si>
  <si>
    <t>L_0402</t>
  </si>
  <si>
    <t>Buzzer SMD</t>
  </si>
  <si>
    <t>SOT-23-3</t>
  </si>
  <si>
    <t>SOT-23-3_L2.9-W1.3-P1.90-LS2.4-BR</t>
  </si>
  <si>
    <t>R_0402</t>
  </si>
  <si>
    <t>SOT_89</t>
  </si>
  <si>
    <t>UFQFPN-48_L7.0-W7.0-P0.50-BL-EP</t>
  </si>
  <si>
    <t>MSOP-8_L3.0-W3.0-P0.65-LS5.0-BL</t>
  </si>
  <si>
    <t>QFN-20_L4.0-W4.0-P0.50-BL-EP</t>
  </si>
  <si>
    <t>CRYSTAL_SMD3225_4P</t>
  </si>
  <si>
    <t>CRYSTAL-SMD_L3.2-W1.5</t>
  </si>
  <si>
    <t>SMD-3225_4P</t>
  </si>
  <si>
    <t>LCSC Part Number</t>
  </si>
  <si>
    <t>C136658</t>
  </si>
  <si>
    <t>C1525</t>
  </si>
  <si>
    <t>C1555</t>
  </si>
  <si>
    <t>C23733</t>
  </si>
  <si>
    <t>C1547</t>
  </si>
  <si>
    <t>C52923, C157353</t>
  </si>
  <si>
    <t>C15195, C1524</t>
  </si>
  <si>
    <t>C1523</t>
  </si>
  <si>
    <t>C60425</t>
  </si>
  <si>
    <t>C1552</t>
  </si>
  <si>
    <t>C1550</t>
  </si>
  <si>
    <t>C1531</t>
  </si>
  <si>
    <t>C1569</t>
  </si>
  <si>
    <t>C14308</t>
  </si>
  <si>
    <t>C2856802</t>
  </si>
  <si>
    <t>C317939</t>
  </si>
  <si>
    <t>C317946</t>
  </si>
  <si>
    <t>C317935</t>
  </si>
  <si>
    <t>C41410568</t>
  </si>
  <si>
    <t>C20526</t>
  </si>
  <si>
    <t>C10487</t>
  </si>
  <si>
    <t>C10488</t>
  </si>
  <si>
    <t>C25744</t>
  </si>
  <si>
    <t>C25741</t>
  </si>
  <si>
    <t>C11702</t>
  </si>
  <si>
    <t>C25900</t>
  </si>
  <si>
    <t>C17168</t>
  </si>
  <si>
    <t>C25079</t>
  </si>
  <si>
    <t>C25765</t>
  </si>
  <si>
    <t>C25768</t>
  </si>
  <si>
    <t>C25092</t>
  </si>
  <si>
    <t>C25091</t>
  </si>
  <si>
    <t>C80196</t>
  </si>
  <si>
    <t>C60420</t>
  </si>
  <si>
    <t>C269878</t>
  </si>
  <si>
    <t>C8791</t>
  </si>
  <si>
    <t>C2682774</t>
  </si>
  <si>
    <t>C841881</t>
  </si>
  <si>
    <t>C13738</t>
  </si>
  <si>
    <t>Manufacturer Part Number</t>
  </si>
  <si>
    <t>CA45-B-10V-47uF-K</t>
  </si>
  <si>
    <t>CL05B104KO5NNNC</t>
  </si>
  <si>
    <t>0402CG220J500NT</t>
  </si>
  <si>
    <t>CL05A475MP5NRNC</t>
  </si>
  <si>
    <t>0402CG120J500NT</t>
  </si>
  <si>
    <t>CL05A105KA5NQNC, 0402X105K100NT</t>
  </si>
  <si>
    <t>CL05B103KB5NNNC, 0402B103K500NT</t>
  </si>
  <si>
    <t>0402B102K500NT</t>
  </si>
  <si>
    <t>0402B333K160NT</t>
  </si>
  <si>
    <t>0402CG1R5C500NT</t>
  </si>
  <si>
    <t>0402CG1R0C500NT</t>
  </si>
  <si>
    <t>0402B222K500NT</t>
  </si>
  <si>
    <t>0402CG4R7C500NT</t>
  </si>
  <si>
    <t>BAT54CLT1G</t>
  </si>
  <si>
    <t>FHW0402UC3N9JST</t>
  </si>
  <si>
    <t>FHW0402UC8N2JST</t>
  </si>
  <si>
    <t>FHW0402UC2N7KST</t>
  </si>
  <si>
    <t>SI2301CDS-T1-GE3</t>
  </si>
  <si>
    <t>Si2302CDS-T1-GE3</t>
  </si>
  <si>
    <t>0402WGF1002TCE</t>
  </si>
  <si>
    <t>0402WGF1003TCE</t>
  </si>
  <si>
    <t>0402WGF1001TCE</t>
  </si>
  <si>
    <t>0402WGF4701TCE</t>
  </si>
  <si>
    <t>0402WGF0000TCE</t>
  </si>
  <si>
    <t>0402WGF1200TCE</t>
  </si>
  <si>
    <t>0402WGF2002TCE</t>
  </si>
  <si>
    <t>0402WGF2202TCE</t>
  </si>
  <si>
    <t>0402WGF220JTCE</t>
  </si>
  <si>
    <t>0402WGF2200TCE</t>
  </si>
  <si>
    <t>X32258MSB4SI</t>
  </si>
  <si>
    <t>Q13FC13500005</t>
  </si>
  <si>
    <t>X322516MLB4SI</t>
  </si>
  <si>
    <t>Manufacturer</t>
  </si>
  <si>
    <t>CEC(Shenzhen Zhenhua XinYun Elec)</t>
  </si>
  <si>
    <t>Samsung Electro-Mechanics</t>
  </si>
  <si>
    <t>FH (Guangdong Fenghua Advanced Tech)</t>
  </si>
  <si>
    <t>Samsung Electro-Mechanics, FH (Guangdong Fenghua Advanced Tech)</t>
  </si>
  <si>
    <t>ON Semicon</t>
  </si>
  <si>
    <t>XUNPU</t>
  </si>
  <si>
    <t>FUET</t>
  </si>
  <si>
    <t>Changjiang Electronics Tech (CJ)</t>
  </si>
  <si>
    <t>Vishay Intertech</t>
  </si>
  <si>
    <t>UNI-ROYAL(Uniroyal Elec)</t>
  </si>
  <si>
    <t>UNI-ROYAL(Uniroyal Elec), Uniroyal Elec</t>
  </si>
  <si>
    <t>Uniroyal Elec</t>
  </si>
  <si>
    <t>MICRONE(Nanjing Micro One Elec)</t>
  </si>
  <si>
    <t>STMicroelectronics</t>
  </si>
  <si>
    <t>GATEMODE(捷茂微)</t>
  </si>
  <si>
    <t>NORDIC</t>
  </si>
  <si>
    <t>YXC Crystal Oscillators</t>
  </si>
  <si>
    <t>Seiko Epson</t>
  </si>
  <si>
    <t>Yangxing Tech</t>
  </si>
  <si>
    <t>Quantity</t>
  </si>
  <si>
    <t>Description</t>
  </si>
  <si>
    <t>47uF 10V -55℃~+125℃ 2.4Ω@100kHz ±10% CASE-B-3528-19(mm) Tantalum Capacitors ROHS</t>
  </si>
  <si>
    <t>100nF 0402 16V X7R ±10% Multilayer Ceramic Capacitors MLCC - SMD/SMT ROHS</t>
  </si>
  <si>
    <t>22pF 0402 50V C0G ±5% Multilayer Ceramic Capacitors MLCC - SMD/SMT ROHS</t>
  </si>
  <si>
    <t>4.7uF 0402 10V X5R ±20% Multilayer Ceramic Capacitors MLCC - SMD/SMT ROHS</t>
  </si>
  <si>
    <t>12pF 0402 50V C0G ±5% Multilayer Ceramic Capacitors MLCC - SMD/SMT ROHS</t>
  </si>
  <si>
    <t>1uF 0402 16V X7R ±10% Multilayer Ceramic Capacitors MLCC - SMD/SMT ROHS, 1uF 0402 10V X5R ±10% Multilayer Ceramic Capacitors MLCC - SMD/SMT ROHS</t>
  </si>
  <si>
    <t>10nF 0402 50V X7R ±10% Multilayer Ceramic Capacitors MLCC - SMD/SMT ROHS</t>
  </si>
  <si>
    <t>1nF 0402 50V X7R ±10% Multilayer Ceramic Capacitors MLCC - SMD/SMT ROHS</t>
  </si>
  <si>
    <t>33nF 0402 16V X7R ±10% 0402 Multilayer Ceramic Capacitors MLCC - SMD/SMT ROHS</t>
  </si>
  <si>
    <t>1.5pF 0402 50V  C0G Multilayer Ceramic Capacitors MLCC - SMD/SMT ROHS</t>
  </si>
  <si>
    <t>1pF 0402 50V C0G Multilayer Ceramic Capacitors MLCC - SMD/SMT ROHS</t>
  </si>
  <si>
    <t>2.2nF 0402 50V X7R ±10% Multilayer Ceramic Capacitors MLCC - SMD/SMT ROHS</t>
  </si>
  <si>
    <t>4.7pF 0402 50V C0G Multilayer Ceramic Capacitors MLCC - SMD/SMT ROHS</t>
  </si>
  <si>
    <t>SCHOTTKY BARRIER DIODES (SBD) SOT-23(SOT-23-3) ROHS</t>
  </si>
  <si>
    <t>-25℃~+85℃ 0.3mm 0.5mm 18P 2mm 500mA 50V Bottom Contact Hinged Lid Phosphor bronze Surface Mount, Right Angle Tin SMD,P=0.5mm,Surface Mount，Right Angle FFC, FPC (Flat Flexible) Connector Assemblies ROHS</t>
  </si>
  <si>
    <t>3.9nH 840mA ±5% 66mΩ 0402 Inductors (SMD) ROHS</t>
  </si>
  <si>
    <t>8.2nH 680mA ±5% 100mΩ 0402 Inductors (SMD) ROHS</t>
  </si>
  <si>
    <t>2.7nH 640mA ±10% 120mΩ 0402 Inductors (SMD) ROHS</t>
  </si>
  <si>
    <t>-30℃~+70℃ 100mA 2V~4V 2mm 3V 4kHz 4mm 4mm SMD SMD,4x4mm Buzzers ROHS</t>
  </si>
  <si>
    <t>MMBT3904 TRANSISTORS (NPN/PNP) NPN 200MA 40V SOT-23(SOT-23-3) ROHS</t>
  </si>
  <si>
    <t>1 P-Channel 1.6W -55℃~+150℃ 10nC@4.5V 142mΩ@2.5V 1V 20V 3.1A 405pF 55pF 75pF P-Channel SOT-23 MOSFETs ROHS</t>
  </si>
  <si>
    <t>1 N-channel 2.9A 20V 3.5nC@10V,4.5V 550mW 75mΩ@2.5V 850mV N-Channel SOT-23 MOSFETs ROHS</t>
  </si>
  <si>
    <t>10kΩ 0402 50V 62.5mW Thick Film Resistors ±1%  Chip Resistor - Surface Mount ROHS</t>
  </si>
  <si>
    <t>100kΩ 0402 50V -55℃~+155℃ 62.5mW Thick Film Resistor ±1% ±100ppm/℃ Chip Resistor - Surface Mount ROHS</t>
  </si>
  <si>
    <t>1kΩ 0402 50V 62.5mW Thick Film Resistors ±1%  Chip Resistor - Surface Mount ROHS</t>
  </si>
  <si>
    <t>4.7kΩ 0402 50V -55℃~+155℃ 62.5mW Thick Film Resistor ±1% ±100ppm/℃ Chip Resistor - Surface Mount ROHS</t>
  </si>
  <si>
    <t>0Ω 0402 50V -55℃~+155℃ 62.5mW Thick Film Resistor ±1% ±800ppm/℃ Chip Resistor - Surface Mount ROHS, 0Ω 0402 62.5mW Thick Film Resistors 50V ±800ppm/℃ ±1%Chip Resistor - Surface Mount ROHS</t>
  </si>
  <si>
    <t>120Ω 0402 50V -55℃~+155℃ 62.5mW Thick Film Resistor ±1% ±100ppm/℃ Chip Resistor - Surface Mount ROHS</t>
  </si>
  <si>
    <t>20kΩ 0402 50V 62.5mW Thick Film Resistors ±1%  Chip Resistor - Surface Mount ROHS</t>
  </si>
  <si>
    <t>22kΩ 0402 62.5mW Thick Film Resistors 50V ±100ppm/℃ ±1% Chip Resistor - Surface Mount ROHS</t>
  </si>
  <si>
    <t>22Ω 0402 62.5mW Thick Film Resistors 50V ±1% ±100ppm/℃ Chip Resistor - Surface Mount ROHS</t>
  </si>
  <si>
    <t>220Ω 0402 50V -55℃~+155℃ 62.5mW Thick Film Resistor ±1% ±100ppm/℃ Chip Resistor - Surface Mount ROHS</t>
  </si>
  <si>
    <t>-45℃~+150℃ 1 150mA 18V 3V 3uA Fixed Positive SOT-89 Voltage Regulators - Linear, Low Drop Out (LDO) Regulators ROHS</t>
  </si>
  <si>
    <t>-40℃~+85℃ 1.7V~3.6V 100MHz 128KB 12bit 32 Bit 36 512KB ARM Cortex-M4 Built-in FLASH UFQFPN-48(7x7) Microcontrollers (MCU/MPU/SOC) ROHS</t>
  </si>
  <si>
    <t>MSOP-8  Real-time Clocks (RTC) ROHS</t>
  </si>
  <si>
    <t>NRF24L01P-R SPI QFN-20_4x4x05P RF Transceiver ICs ROHS</t>
  </si>
  <si>
    <t>8MHz 20pF 120Ω -40℃~+85℃ Crystal Oscillator ±10ppm ±20ppm SMD3225-4P Crystals ROHS</t>
  </si>
  <si>
    <t>32.768kHz 12.5pF ±10ppm SMD3215-2P Crystals ROHS</t>
  </si>
  <si>
    <t>16MHz SMD Crystal Resonator 9pF ±10ppm ±30ppm -40℃~+85℃ SMD3225-4P Crystals ROHS</t>
  </si>
  <si>
    <t>Assembly Type</t>
  </si>
  <si>
    <t>SMT Assembly</t>
  </si>
  <si>
    <t>Package</t>
  </si>
  <si>
    <t>CASE-B-3528-19(mm)</t>
  </si>
  <si>
    <t>0402</t>
  </si>
  <si>
    <t>SMD,P=0.5mm,Surface Mount，Right Angle</t>
  </si>
  <si>
    <t>SMD,4x4mm</t>
  </si>
  <si>
    <t>SOT-23</t>
  </si>
  <si>
    <t>SOT-89</t>
  </si>
  <si>
    <t>UFQFPN-48(7x7)</t>
  </si>
  <si>
    <t>MSOP-8</t>
  </si>
  <si>
    <t>QFN-20_4x4x05P</t>
  </si>
  <si>
    <t>SMD3225-4P</t>
  </si>
  <si>
    <t>SMD3215-2P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</si>
</sst>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3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showGridLines="0" tabSelected="1" zoomScaleNormal="100" workbookViewId="0">
      <selection activeCell="D12" sqref="D12"/>
    </sheetView>
  </sheetViews>
  <sheetFormatPr defaultColWidth="8.85546875" defaultRowHeight="14.25"/>
  <cols>
    <col min="1" max="1" width="3.85546875" style="2" customWidth="1"/>
    <col min="2" max="2" width="19.85546875" style="2" bestFit="1" customWidth="1"/>
    <col min="3" max="3" width="8" style="2" customWidth="1"/>
    <col min="4" max="4" width="19.5703125" style="2" bestFit="1" customWidth="1"/>
    <col min="5" max="5" width="15.140625" style="2" customWidth="1"/>
    <col min="6" max="6" width="25.85546875" style="2" customWidth="1"/>
    <col min="7" max="7" width="28.5703125" style="2" bestFit="1" customWidth="1"/>
    <col min="8" max="8" width="8.140625" style="2" customWidth="1"/>
    <col min="9" max="9" width="22.140625" style="8" bestFit="1" customWidth="1"/>
    <col min="10" max="10" width="17.7109375" style="2" customWidth="1"/>
    <col min="11" max="11" width="18.85546875" style="2" hidden="1" customWidth="1"/>
    <col min="12" max="12" width="18.5703125" style="2" customWidth="1"/>
    <col min="13" max="16384" width="8.85546875" style="2"/>
  </cols>
  <sheetData>
    <row r="1" spans="1:12" ht="18">
      <c r="A1" s="10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">
      <c r="A2" s="1" t="s">
        <v>1</v>
      </c>
      <c r="B2" s="1" t="s">
        <v>3</v>
      </c>
      <c r="C2" s="1" t="s">
        <v>43</v>
      </c>
      <c r="D2" s="1" t="s">
        <v>83</v>
      </c>
      <c r="E2" s="1" t="s">
        <v>100</v>
      </c>
      <c r="F2" s="1" t="s">
        <v>140</v>
      </c>
      <c r="G2" s="1" t="s">
        <v>173</v>
      </c>
      <c r="H2" s="1" t="s">
        <v>193</v>
      </c>
      <c r="I2" s="1" t="s">
        <v>194</v>
      </c>
      <c r="J2" s="1" t="s">
        <v>234</v>
      </c>
      <c r="K2" s="5" t="s">
        <v>236</v>
      </c>
      <c r="L2" s="1" t="s">
        <v>0</v>
      </c>
    </row>
    <row r="3" spans="1:12" ht="15.95" customHeight="1">
      <c r="A3" s="3">
        <f>ROW(A3)-ROW($A$2)</f>
        <v>1</v>
      </c>
      <c r="B3" s="3" t="s">
        <v>4</v>
      </c>
      <c r="C3" s="3" t="s">
        <v>44</v>
      </c>
      <c r="D3" s="3" t="s">
        <v>84</v>
      </c>
      <c r="E3" s="3" t="s">
        <v>101</v>
      </c>
      <c r="F3" s="3" t="s">
        <v>141</v>
      </c>
      <c r="G3" s="3" t="s">
        <v>174</v>
      </c>
      <c r="H3" s="3">
        <v>2</v>
      </c>
      <c r="I3" s="3" t="s">
        <v>195</v>
      </c>
      <c r="J3" s="3" t="s">
        <v>235</v>
      </c>
      <c r="K3" s="6" t="s">
        <v>237</v>
      </c>
      <c r="L3" s="3"/>
    </row>
    <row r="4" spans="1:12" ht="17.100000000000001" customHeight="1">
      <c r="A4" s="4">
        <f>ROW(A4)-ROW($A$2)</f>
        <v>2</v>
      </c>
      <c r="B4" s="4" t="s">
        <v>5</v>
      </c>
      <c r="C4" s="4" t="s">
        <v>45</v>
      </c>
      <c r="D4" s="4" t="s">
        <v>85</v>
      </c>
      <c r="E4" s="4" t="s">
        <v>102</v>
      </c>
      <c r="F4" s="4" t="s">
        <v>142</v>
      </c>
      <c r="G4" s="4" t="s">
        <v>175</v>
      </c>
      <c r="H4" s="4">
        <v>14</v>
      </c>
      <c r="I4" s="4" t="s">
        <v>196</v>
      </c>
      <c r="J4" s="4" t="s">
        <v>235</v>
      </c>
      <c r="K4" s="7" t="s">
        <v>238</v>
      </c>
      <c r="L4" s="4"/>
    </row>
    <row r="5" spans="1:12" ht="17.100000000000001" customHeight="1">
      <c r="A5" s="3">
        <f>ROW(A5)-ROW($A$2)</f>
        <v>3</v>
      </c>
      <c r="B5" s="3" t="s">
        <v>6</v>
      </c>
      <c r="C5" s="3" t="s">
        <v>46</v>
      </c>
      <c r="D5" s="3" t="s">
        <v>85</v>
      </c>
      <c r="E5" s="3" t="s">
        <v>103</v>
      </c>
      <c r="F5" s="3" t="s">
        <v>143</v>
      </c>
      <c r="G5" s="3" t="s">
        <v>176</v>
      </c>
      <c r="H5" s="3">
        <v>4</v>
      </c>
      <c r="I5" s="3" t="s">
        <v>197</v>
      </c>
      <c r="J5" s="3" t="s">
        <v>235</v>
      </c>
      <c r="K5" s="6" t="s">
        <v>238</v>
      </c>
      <c r="L5" s="3"/>
    </row>
    <row r="6" spans="1:12" ht="17.100000000000001" customHeight="1">
      <c r="A6" s="4">
        <f>ROW(A6)-ROW($A$2)</f>
        <v>4</v>
      </c>
      <c r="B6" s="4" t="s">
        <v>7</v>
      </c>
      <c r="C6" s="4" t="s">
        <v>47</v>
      </c>
      <c r="D6" s="4" t="s">
        <v>85</v>
      </c>
      <c r="E6" s="4" t="s">
        <v>104</v>
      </c>
      <c r="F6" s="4" t="s">
        <v>144</v>
      </c>
      <c r="G6" s="4" t="s">
        <v>175</v>
      </c>
      <c r="H6" s="4">
        <v>3</v>
      </c>
      <c r="I6" s="4" t="s">
        <v>198</v>
      </c>
      <c r="J6" s="4" t="s">
        <v>235</v>
      </c>
      <c r="K6" s="7" t="s">
        <v>238</v>
      </c>
      <c r="L6" s="4"/>
    </row>
    <row r="7" spans="1:12" ht="17.100000000000001" customHeight="1">
      <c r="A7" s="3">
        <f>ROW(A7)-ROW($A$2)</f>
        <v>5</v>
      </c>
      <c r="B7" s="3" t="s">
        <v>8</v>
      </c>
      <c r="C7" s="3" t="s">
        <v>48</v>
      </c>
      <c r="D7" s="3" t="s">
        <v>85</v>
      </c>
      <c r="E7" s="3" t="s">
        <v>105</v>
      </c>
      <c r="F7" s="3" t="s">
        <v>145</v>
      </c>
      <c r="G7" s="3" t="s">
        <v>176</v>
      </c>
      <c r="H7" s="3">
        <v>2</v>
      </c>
      <c r="I7" s="3" t="s">
        <v>199</v>
      </c>
      <c r="J7" s="3" t="s">
        <v>235</v>
      </c>
      <c r="K7" s="6" t="s">
        <v>238</v>
      </c>
      <c r="L7" s="3"/>
    </row>
    <row r="8" spans="1:12" ht="17.100000000000001" customHeight="1">
      <c r="A8" s="4">
        <f>ROW(A8)-ROW($A$2)</f>
        <v>6</v>
      </c>
      <c r="B8" s="4" t="s">
        <v>9</v>
      </c>
      <c r="C8" s="4" t="s">
        <v>49</v>
      </c>
      <c r="D8" s="4" t="s">
        <v>85</v>
      </c>
      <c r="E8" s="4" t="s">
        <v>106</v>
      </c>
      <c r="F8" s="4" t="s">
        <v>146</v>
      </c>
      <c r="G8" s="4" t="s">
        <v>177</v>
      </c>
      <c r="H8" s="4">
        <v>2</v>
      </c>
      <c r="I8" s="4" t="s">
        <v>200</v>
      </c>
      <c r="J8" s="4" t="s">
        <v>235</v>
      </c>
      <c r="K8" s="7" t="s">
        <v>238</v>
      </c>
      <c r="L8" s="4"/>
    </row>
    <row r="9" spans="1:12" ht="17.100000000000001" customHeight="1">
      <c r="A9" s="3">
        <f>ROW(A9)-ROW($A$2)</f>
        <v>7</v>
      </c>
      <c r="B9" s="3" t="s">
        <v>10</v>
      </c>
      <c r="C9" s="3" t="s">
        <v>50</v>
      </c>
      <c r="D9" s="3" t="s">
        <v>85</v>
      </c>
      <c r="E9" s="3" t="s">
        <v>107</v>
      </c>
      <c r="F9" s="3" t="s">
        <v>147</v>
      </c>
      <c r="G9" s="3" t="s">
        <v>177</v>
      </c>
      <c r="H9" s="3">
        <v>2</v>
      </c>
      <c r="I9" s="3" t="s">
        <v>201</v>
      </c>
      <c r="J9" s="3" t="s">
        <v>235</v>
      </c>
      <c r="K9" s="6" t="s">
        <v>238</v>
      </c>
      <c r="L9" s="3"/>
    </row>
    <row r="10" spans="1:12" ht="17.100000000000001" customHeight="1">
      <c r="A10" s="4">
        <f>ROW(A10)-ROW($A$2)</f>
        <v>8</v>
      </c>
      <c r="B10" s="4" t="s">
        <v>11</v>
      </c>
      <c r="C10" s="4" t="s">
        <v>51</v>
      </c>
      <c r="D10" s="4" t="s">
        <v>85</v>
      </c>
      <c r="E10" s="4" t="s">
        <v>108</v>
      </c>
      <c r="F10" s="4" t="s">
        <v>148</v>
      </c>
      <c r="G10" s="4" t="s">
        <v>176</v>
      </c>
      <c r="H10" s="4">
        <v>1</v>
      </c>
      <c r="I10" s="4" t="s">
        <v>202</v>
      </c>
      <c r="J10" s="4" t="s">
        <v>235</v>
      </c>
      <c r="K10" s="7" t="s">
        <v>238</v>
      </c>
      <c r="L10" s="4"/>
    </row>
    <row r="11" spans="1:12" ht="17.100000000000001" customHeight="1">
      <c r="A11" s="3">
        <f>ROW(A11)-ROW($A$2)</f>
        <v>9</v>
      </c>
      <c r="B11" s="3" t="s">
        <v>12</v>
      </c>
      <c r="C11" s="3" t="s">
        <v>52</v>
      </c>
      <c r="D11" s="3" t="s">
        <v>85</v>
      </c>
      <c r="E11" s="3" t="s">
        <v>109</v>
      </c>
      <c r="F11" s="3" t="s">
        <v>149</v>
      </c>
      <c r="G11" s="3" t="s">
        <v>176</v>
      </c>
      <c r="H11" s="3">
        <v>1</v>
      </c>
      <c r="I11" s="3" t="s">
        <v>203</v>
      </c>
      <c r="J11" s="3" t="s">
        <v>235</v>
      </c>
      <c r="K11" s="6" t="s">
        <v>238</v>
      </c>
      <c r="L11" s="3"/>
    </row>
    <row r="12" spans="1:12" ht="17.100000000000001" customHeight="1">
      <c r="A12" s="4">
        <f>ROW(A12)-ROW($A$2)</f>
        <v>10</v>
      </c>
      <c r="B12" s="4" t="s">
        <v>13</v>
      </c>
      <c r="C12" s="4" t="s">
        <v>53</v>
      </c>
      <c r="D12" s="4" t="s">
        <v>85</v>
      </c>
      <c r="E12" s="4" t="s">
        <v>110</v>
      </c>
      <c r="F12" s="4" t="s">
        <v>150</v>
      </c>
      <c r="G12" s="4" t="s">
        <v>176</v>
      </c>
      <c r="H12" s="4">
        <v>1</v>
      </c>
      <c r="I12" s="4" t="s">
        <v>204</v>
      </c>
      <c r="J12" s="4" t="s">
        <v>235</v>
      </c>
      <c r="K12" s="7" t="s">
        <v>238</v>
      </c>
      <c r="L12" s="4"/>
    </row>
    <row r="13" spans="1:12" ht="17.100000000000001" customHeight="1">
      <c r="A13" s="3">
        <f>ROW(A13)-ROW($A$2)</f>
        <v>11</v>
      </c>
      <c r="B13" s="3" t="s">
        <v>14</v>
      </c>
      <c r="C13" s="3" t="s">
        <v>54</v>
      </c>
      <c r="D13" s="3" t="s">
        <v>85</v>
      </c>
      <c r="E13" s="3" t="s">
        <v>111</v>
      </c>
      <c r="F13" s="3" t="s">
        <v>151</v>
      </c>
      <c r="G13" s="3" t="s">
        <v>176</v>
      </c>
      <c r="H13" s="3">
        <v>1</v>
      </c>
      <c r="I13" s="3" t="s">
        <v>205</v>
      </c>
      <c r="J13" s="3" t="s">
        <v>235</v>
      </c>
      <c r="K13" s="6" t="s">
        <v>238</v>
      </c>
      <c r="L13" s="3"/>
    </row>
    <row r="14" spans="1:12" ht="17.100000000000001" customHeight="1">
      <c r="A14" s="4">
        <f>ROW(A14)-ROW($A$2)</f>
        <v>12</v>
      </c>
      <c r="B14" s="4" t="s">
        <v>15</v>
      </c>
      <c r="C14" s="4" t="s">
        <v>55</v>
      </c>
      <c r="D14" s="4" t="s">
        <v>85</v>
      </c>
      <c r="E14" s="4" t="s">
        <v>112</v>
      </c>
      <c r="F14" s="4" t="s">
        <v>152</v>
      </c>
      <c r="G14" s="4" t="s">
        <v>176</v>
      </c>
      <c r="H14" s="4">
        <v>1</v>
      </c>
      <c r="I14" s="4" t="s">
        <v>206</v>
      </c>
      <c r="J14" s="4" t="s">
        <v>235</v>
      </c>
      <c r="K14" s="7" t="s">
        <v>238</v>
      </c>
      <c r="L14" s="4"/>
    </row>
    <row r="15" spans="1:12" ht="17.100000000000001" customHeight="1">
      <c r="A15" s="3">
        <f>ROW(A15)-ROW($A$2)</f>
        <v>13</v>
      </c>
      <c r="B15" s="3" t="s">
        <v>16</v>
      </c>
      <c r="C15" s="3" t="s">
        <v>56</v>
      </c>
      <c r="D15" s="3" t="s">
        <v>85</v>
      </c>
      <c r="E15" s="3" t="s">
        <v>113</v>
      </c>
      <c r="F15" s="3" t="s">
        <v>153</v>
      </c>
      <c r="G15" s="3" t="s">
        <v>176</v>
      </c>
      <c r="H15" s="3">
        <v>1</v>
      </c>
      <c r="I15" s="3" t="s">
        <v>207</v>
      </c>
      <c r="J15" s="3" t="s">
        <v>235</v>
      </c>
      <c r="K15" s="6" t="s">
        <v>238</v>
      </c>
      <c r="L15" s="3"/>
    </row>
    <row r="16" spans="1:12" ht="17.100000000000001" customHeight="1">
      <c r="A16" s="4">
        <f>ROW(A16)-ROW($A$2)</f>
        <v>14</v>
      </c>
      <c r="B16" s="4" t="s">
        <v>17</v>
      </c>
      <c r="C16" s="4" t="s">
        <v>57</v>
      </c>
      <c r="D16" s="4" t="s">
        <v>86</v>
      </c>
      <c r="E16" s="4" t="s">
        <v>114</v>
      </c>
      <c r="F16" s="4" t="s">
        <v>154</v>
      </c>
      <c r="G16" s="4" t="s">
        <v>178</v>
      </c>
      <c r="H16" s="4">
        <v>1</v>
      </c>
      <c r="I16" s="4" t="s">
        <v>208</v>
      </c>
      <c r="J16" s="4" t="s">
        <v>235</v>
      </c>
      <c r="K16" s="7" t="s">
        <v>90</v>
      </c>
      <c r="L16" s="4"/>
    </row>
    <row r="17" spans="1:12" ht="17.100000000000001" customHeight="1">
      <c r="A17" s="3">
        <f>ROW(A17)-ROW($A$2)</f>
        <v>15</v>
      </c>
      <c r="B17" s="3" t="s">
        <v>18</v>
      </c>
      <c r="C17" s="3" t="s">
        <v>58</v>
      </c>
      <c r="D17" s="3" t="s">
        <v>87</v>
      </c>
      <c r="E17" s="3" t="s">
        <v>115</v>
      </c>
      <c r="F17" s="3" t="s">
        <v>18</v>
      </c>
      <c r="G17" s="3" t="s">
        <v>179</v>
      </c>
      <c r="H17" s="3">
        <v>1</v>
      </c>
      <c r="I17" s="3" t="s">
        <v>209</v>
      </c>
      <c r="J17" s="3" t="s">
        <v>235</v>
      </c>
      <c r="K17" s="6" t="s">
        <v>239</v>
      </c>
      <c r="L17" s="3"/>
    </row>
    <row r="18" spans="1:12" ht="17.100000000000001" customHeight="1">
      <c r="A18" s="4">
        <f>ROW(A18)-ROW($A$2)</f>
        <v>16</v>
      </c>
      <c r="B18" s="4" t="s">
        <v>19</v>
      </c>
      <c r="C18" s="4" t="s">
        <v>59</v>
      </c>
      <c r="D18" s="4" t="s">
        <v>88</v>
      </c>
      <c r="E18" s="4" t="s">
        <v>116</v>
      </c>
      <c r="F18" s="4" t="s">
        <v>155</v>
      </c>
      <c r="G18" s="4" t="s">
        <v>176</v>
      </c>
      <c r="H18" s="4">
        <v>1</v>
      </c>
      <c r="I18" s="4" t="s">
        <v>210</v>
      </c>
      <c r="J18" s="4" t="s">
        <v>235</v>
      </c>
      <c r="K18" s="7" t="s">
        <v>238</v>
      </c>
      <c r="L18" s="4"/>
    </row>
    <row r="19" spans="1:12" ht="17.100000000000001" customHeight="1">
      <c r="A19" s="3">
        <f>ROW(A19)-ROW($A$2)</f>
        <v>17</v>
      </c>
      <c r="B19" s="3" t="s">
        <v>20</v>
      </c>
      <c r="C19" s="3" t="s">
        <v>60</v>
      </c>
      <c r="D19" s="3" t="s">
        <v>88</v>
      </c>
      <c r="E19" s="3" t="s">
        <v>117</v>
      </c>
      <c r="F19" s="3" t="s">
        <v>156</v>
      </c>
      <c r="G19" s="3" t="s">
        <v>176</v>
      </c>
      <c r="H19" s="3">
        <v>1</v>
      </c>
      <c r="I19" s="3" t="s">
        <v>211</v>
      </c>
      <c r="J19" s="3" t="s">
        <v>235</v>
      </c>
      <c r="K19" s="6" t="s">
        <v>238</v>
      </c>
      <c r="L19" s="3"/>
    </row>
    <row r="20" spans="1:12" ht="17.100000000000001" customHeight="1">
      <c r="A20" s="4">
        <f>ROW(A20)-ROW($A$2)</f>
        <v>18</v>
      </c>
      <c r="B20" s="4" t="s">
        <v>21</v>
      </c>
      <c r="C20" s="4" t="s">
        <v>61</v>
      </c>
      <c r="D20" s="4" t="s">
        <v>88</v>
      </c>
      <c r="E20" s="4" t="s">
        <v>118</v>
      </c>
      <c r="F20" s="4" t="s">
        <v>157</v>
      </c>
      <c r="G20" s="4" t="s">
        <v>176</v>
      </c>
      <c r="H20" s="4">
        <v>1</v>
      </c>
      <c r="I20" s="4" t="s">
        <v>212</v>
      </c>
      <c r="J20" s="4" t="s">
        <v>235</v>
      </c>
      <c r="K20" s="7" t="s">
        <v>238</v>
      </c>
      <c r="L20" s="4"/>
    </row>
    <row r="21" spans="1:12" ht="17.100000000000001" customHeight="1">
      <c r="A21" s="3">
        <f>ROW(A21)-ROW($A$2)</f>
        <v>19</v>
      </c>
      <c r="B21" s="3" t="s">
        <v>22</v>
      </c>
      <c r="C21" s="3" t="s">
        <v>62</v>
      </c>
      <c r="D21" s="3" t="s">
        <v>89</v>
      </c>
      <c r="E21" s="3" t="s">
        <v>119</v>
      </c>
      <c r="F21" s="3" t="s">
        <v>22</v>
      </c>
      <c r="G21" s="3" t="s">
        <v>180</v>
      </c>
      <c r="H21" s="3">
        <v>1</v>
      </c>
      <c r="I21" s="3" t="s">
        <v>213</v>
      </c>
      <c r="J21" s="3" t="s">
        <v>235</v>
      </c>
      <c r="K21" s="6" t="s">
        <v>240</v>
      </c>
      <c r="L21" s="3"/>
    </row>
    <row r="22" spans="1:12" ht="17.100000000000001" customHeight="1">
      <c r="A22" s="4">
        <f>ROW(A22)-ROW($A$2)</f>
        <v>20</v>
      </c>
      <c r="B22" s="4" t="s">
        <v>23</v>
      </c>
      <c r="C22" s="4" t="s">
        <v>63</v>
      </c>
      <c r="D22" s="4" t="s">
        <v>90</v>
      </c>
      <c r="E22" s="4" t="s">
        <v>120</v>
      </c>
      <c r="F22" s="4" t="s">
        <v>23</v>
      </c>
      <c r="G22" s="4" t="s">
        <v>181</v>
      </c>
      <c r="H22" s="4">
        <v>1</v>
      </c>
      <c r="I22" s="4" t="s">
        <v>214</v>
      </c>
      <c r="J22" s="4" t="s">
        <v>235</v>
      </c>
      <c r="K22" s="7" t="s">
        <v>90</v>
      </c>
      <c r="L22" s="4"/>
    </row>
    <row r="23" spans="1:12" ht="17.100000000000001" customHeight="1">
      <c r="A23" s="3">
        <f>ROW(A23)-ROW($A$2)</f>
        <v>21</v>
      </c>
      <c r="B23" s="3" t="s">
        <v>24</v>
      </c>
      <c r="C23" s="3" t="s">
        <v>64</v>
      </c>
      <c r="D23" s="3" t="s">
        <v>91</v>
      </c>
      <c r="E23" s="3" t="s">
        <v>121</v>
      </c>
      <c r="F23" s="3" t="s">
        <v>158</v>
      </c>
      <c r="G23" s="3" t="s">
        <v>182</v>
      </c>
      <c r="H23" s="3">
        <v>1</v>
      </c>
      <c r="I23" s="3" t="s">
        <v>215</v>
      </c>
      <c r="J23" s="3" t="s">
        <v>235</v>
      </c>
      <c r="K23" s="6" t="s">
        <v>241</v>
      </c>
      <c r="L23" s="3"/>
    </row>
    <row r="24" spans="1:12" ht="17.100000000000001" customHeight="1">
      <c r="A24" s="4">
        <f>ROW(A24)-ROW($A$2)</f>
        <v>22</v>
      </c>
      <c r="B24" s="4" t="s">
        <v>25</v>
      </c>
      <c r="C24" s="4" t="s">
        <v>65</v>
      </c>
      <c r="D24" s="4" t="s">
        <v>91</v>
      </c>
      <c r="E24" s="4" t="s">
        <v>122</v>
      </c>
      <c r="F24" s="4" t="s">
        <v>159</v>
      </c>
      <c r="G24" s="4" t="s">
        <v>182</v>
      </c>
      <c r="H24" s="4">
        <v>2</v>
      </c>
      <c r="I24" s="4" t="s">
        <v>216</v>
      </c>
      <c r="J24" s="4" t="s">
        <v>235</v>
      </c>
      <c r="K24" s="7" t="s">
        <v>241</v>
      </c>
      <c r="L24" s="4"/>
    </row>
    <row r="25" spans="1:12" ht="17.100000000000001" customHeight="1">
      <c r="A25" s="3">
        <f>ROW(A25)-ROW($A$2)</f>
        <v>23</v>
      </c>
      <c r="B25" s="3" t="s">
        <v>26</v>
      </c>
      <c r="C25" s="3" t="s">
        <v>66</v>
      </c>
      <c r="D25" s="3" t="s">
        <v>92</v>
      </c>
      <c r="E25" s="3" t="s">
        <v>123</v>
      </c>
      <c r="F25" s="3" t="s">
        <v>160</v>
      </c>
      <c r="G25" s="3" t="s">
        <v>183</v>
      </c>
      <c r="H25" s="3">
        <v>5</v>
      </c>
      <c r="I25" s="3" t="s">
        <v>217</v>
      </c>
      <c r="J25" s="3" t="s">
        <v>235</v>
      </c>
      <c r="K25" s="6" t="s">
        <v>238</v>
      </c>
      <c r="L25" s="3"/>
    </row>
    <row r="26" spans="1:12" ht="17.100000000000001" customHeight="1">
      <c r="A26" s="4">
        <f>ROW(A26)-ROW($A$2)</f>
        <v>24</v>
      </c>
      <c r="B26" s="4" t="s">
        <v>27</v>
      </c>
      <c r="C26" s="4" t="s">
        <v>67</v>
      </c>
      <c r="D26" s="4" t="s">
        <v>92</v>
      </c>
      <c r="E26" s="4" t="s">
        <v>124</v>
      </c>
      <c r="F26" s="4" t="s">
        <v>161</v>
      </c>
      <c r="G26" s="4" t="s">
        <v>183</v>
      </c>
      <c r="H26" s="4">
        <v>1</v>
      </c>
      <c r="I26" s="4" t="s">
        <v>218</v>
      </c>
      <c r="J26" s="4" t="s">
        <v>235</v>
      </c>
      <c r="K26" s="7" t="s">
        <v>238</v>
      </c>
      <c r="L26" s="4"/>
    </row>
    <row r="27" spans="1:12" ht="17.100000000000001" customHeight="1">
      <c r="A27" s="3">
        <f>ROW(A27)-ROW($A$2)</f>
        <v>25</v>
      </c>
      <c r="B27" s="3" t="s">
        <v>28</v>
      </c>
      <c r="C27" s="3" t="s">
        <v>68</v>
      </c>
      <c r="D27" s="3" t="s">
        <v>92</v>
      </c>
      <c r="E27" s="3" t="s">
        <v>125</v>
      </c>
      <c r="F27" s="3" t="s">
        <v>162</v>
      </c>
      <c r="G27" s="3" t="s">
        <v>183</v>
      </c>
      <c r="H27" s="3">
        <v>2</v>
      </c>
      <c r="I27" s="3" t="s">
        <v>219</v>
      </c>
      <c r="J27" s="3" t="s">
        <v>235</v>
      </c>
      <c r="K27" s="6" t="s">
        <v>238</v>
      </c>
      <c r="L27" s="3"/>
    </row>
    <row r="28" spans="1:12" ht="17.100000000000001" customHeight="1">
      <c r="A28" s="4">
        <f>ROW(A28)-ROW($A$2)</f>
        <v>26</v>
      </c>
      <c r="B28" s="4" t="s">
        <v>29</v>
      </c>
      <c r="C28" s="4" t="s">
        <v>69</v>
      </c>
      <c r="D28" s="4" t="s">
        <v>92</v>
      </c>
      <c r="E28" s="4" t="s">
        <v>126</v>
      </c>
      <c r="F28" s="4" t="s">
        <v>163</v>
      </c>
      <c r="G28" s="4" t="s">
        <v>183</v>
      </c>
      <c r="H28" s="4">
        <v>2</v>
      </c>
      <c r="I28" s="4" t="s">
        <v>220</v>
      </c>
      <c r="J28" s="4" t="s">
        <v>235</v>
      </c>
      <c r="K28" s="7" t="s">
        <v>238</v>
      </c>
      <c r="L28" s="4"/>
    </row>
    <row r="29" spans="1:12" ht="17.100000000000001" customHeight="1">
      <c r="A29" s="3">
        <f>ROW(A29)-ROW($A$2)</f>
        <v>27</v>
      </c>
      <c r="B29" s="3" t="s">
        <v>30</v>
      </c>
      <c r="C29" s="3" t="s">
        <v>70</v>
      </c>
      <c r="D29" s="3" t="s">
        <v>92</v>
      </c>
      <c r="E29" s="3" t="s">
        <v>127</v>
      </c>
      <c r="F29" s="3" t="s">
        <v>164</v>
      </c>
      <c r="G29" s="3" t="s">
        <v>184</v>
      </c>
      <c r="H29" s="3">
        <v>2</v>
      </c>
      <c r="I29" s="3" t="s">
        <v>221</v>
      </c>
      <c r="J29" s="3" t="s">
        <v>235</v>
      </c>
      <c r="K29" s="6" t="s">
        <v>238</v>
      </c>
      <c r="L29" s="3"/>
    </row>
    <row r="30" spans="1:12" ht="17.100000000000001" customHeight="1">
      <c r="A30" s="4">
        <f>ROW(A30)-ROW($A$2)</f>
        <v>28</v>
      </c>
      <c r="B30" s="4" t="s">
        <v>31</v>
      </c>
      <c r="C30" s="4" t="s">
        <v>71</v>
      </c>
      <c r="D30" s="4" t="s">
        <v>92</v>
      </c>
      <c r="E30" s="4" t="s">
        <v>128</v>
      </c>
      <c r="F30" s="4" t="s">
        <v>165</v>
      </c>
      <c r="G30" s="4" t="s">
        <v>183</v>
      </c>
      <c r="H30" s="4">
        <v>1</v>
      </c>
      <c r="I30" s="4" t="s">
        <v>222</v>
      </c>
      <c r="J30" s="4" t="s">
        <v>235</v>
      </c>
      <c r="K30" s="7" t="s">
        <v>238</v>
      </c>
      <c r="L30" s="4"/>
    </row>
    <row r="31" spans="1:12" ht="17.100000000000001" customHeight="1">
      <c r="A31" s="3">
        <f>ROW(A31)-ROW($A$2)</f>
        <v>29</v>
      </c>
      <c r="B31" s="3" t="s">
        <v>32</v>
      </c>
      <c r="C31" s="3" t="s">
        <v>72</v>
      </c>
      <c r="D31" s="3" t="s">
        <v>92</v>
      </c>
      <c r="E31" s="3" t="s">
        <v>129</v>
      </c>
      <c r="F31" s="3" t="s">
        <v>166</v>
      </c>
      <c r="G31" s="3" t="s">
        <v>183</v>
      </c>
      <c r="H31" s="3">
        <v>1</v>
      </c>
      <c r="I31" s="3" t="s">
        <v>223</v>
      </c>
      <c r="J31" s="3" t="s">
        <v>235</v>
      </c>
      <c r="K31" s="6" t="s">
        <v>238</v>
      </c>
      <c r="L31" s="3"/>
    </row>
    <row r="32" spans="1:12" ht="17.100000000000001" customHeight="1">
      <c r="A32" s="4">
        <f>ROW(A32)-ROW($A$2)</f>
        <v>30</v>
      </c>
      <c r="B32" s="4" t="s">
        <v>33</v>
      </c>
      <c r="C32" s="4" t="s">
        <v>73</v>
      </c>
      <c r="D32" s="4" t="s">
        <v>92</v>
      </c>
      <c r="E32" s="4" t="s">
        <v>130</v>
      </c>
      <c r="F32" s="4" t="s">
        <v>167</v>
      </c>
      <c r="G32" s="4" t="s">
        <v>185</v>
      </c>
      <c r="H32" s="4">
        <v>1</v>
      </c>
      <c r="I32" s="4" t="s">
        <v>224</v>
      </c>
      <c r="J32" s="4" t="s">
        <v>235</v>
      </c>
      <c r="K32" s="7" t="s">
        <v>238</v>
      </c>
      <c r="L32" s="4"/>
    </row>
    <row r="33" spans="1:12" ht="17.100000000000001" customHeight="1">
      <c r="A33" s="3">
        <f>ROW(A33)-ROW($A$2)</f>
        <v>31</v>
      </c>
      <c r="B33" s="3" t="s">
        <v>34</v>
      </c>
      <c r="C33" s="3" t="s">
        <v>74</v>
      </c>
      <c r="D33" s="3" t="s">
        <v>92</v>
      </c>
      <c r="E33" s="3" t="s">
        <v>131</v>
      </c>
      <c r="F33" s="3" t="s">
        <v>168</v>
      </c>
      <c r="G33" s="3" t="s">
        <v>185</v>
      </c>
      <c r="H33" s="3">
        <v>1</v>
      </c>
      <c r="I33" s="3" t="s">
        <v>225</v>
      </c>
      <c r="J33" s="3" t="s">
        <v>235</v>
      </c>
      <c r="K33" s="6" t="s">
        <v>238</v>
      </c>
      <c r="L33" s="3"/>
    </row>
    <row r="34" spans="1:12" ht="17.100000000000001" customHeight="1">
      <c r="A34" s="4">
        <f>ROW(A34)-ROW($A$2)</f>
        <v>32</v>
      </c>
      <c r="B34" s="4" t="s">
        <v>35</v>
      </c>
      <c r="C34" s="4" t="s">
        <v>75</v>
      </c>
      <c r="D34" s="4" t="s">
        <v>92</v>
      </c>
      <c r="E34" s="4" t="s">
        <v>132</v>
      </c>
      <c r="F34" s="4" t="s">
        <v>169</v>
      </c>
      <c r="G34" s="4" t="s">
        <v>183</v>
      </c>
      <c r="H34" s="4">
        <v>2</v>
      </c>
      <c r="I34" s="4" t="s">
        <v>226</v>
      </c>
      <c r="J34" s="4" t="s">
        <v>235</v>
      </c>
      <c r="K34" s="7" t="s">
        <v>238</v>
      </c>
      <c r="L34" s="4"/>
    </row>
    <row r="35" spans="1:12" ht="17.100000000000001" customHeight="1">
      <c r="A35" s="3">
        <f>ROW(A35)-ROW($A$2)</f>
        <v>33</v>
      </c>
      <c r="B35" s="3" t="s">
        <v>36</v>
      </c>
      <c r="C35" s="3" t="s">
        <v>76</v>
      </c>
      <c r="D35" s="3" t="s">
        <v>93</v>
      </c>
      <c r="E35" s="3" t="s">
        <v>133</v>
      </c>
      <c r="F35" s="3" t="s">
        <v>36</v>
      </c>
      <c r="G35" s="3" t="s">
        <v>186</v>
      </c>
      <c r="H35" s="3">
        <v>1</v>
      </c>
      <c r="I35" s="3" t="s">
        <v>227</v>
      </c>
      <c r="J35" s="3" t="s">
        <v>235</v>
      </c>
      <c r="K35" s="6" t="s">
        <v>242</v>
      </c>
      <c r="L35" s="3"/>
    </row>
    <row r="36" spans="1:12" ht="17.100000000000001" customHeight="1">
      <c r="A36" s="4">
        <f>ROW(A36)-ROW($A$2)</f>
        <v>34</v>
      </c>
      <c r="B36" s="4" t="s">
        <v>37</v>
      </c>
      <c r="C36" s="4" t="s">
        <v>77</v>
      </c>
      <c r="D36" s="4" t="s">
        <v>94</v>
      </c>
      <c r="E36" s="4" t="s">
        <v>134</v>
      </c>
      <c r="F36" s="4" t="s">
        <v>37</v>
      </c>
      <c r="G36" s="4" t="s">
        <v>187</v>
      </c>
      <c r="H36" s="4">
        <v>1</v>
      </c>
      <c r="I36" s="4" t="s">
        <v>228</v>
      </c>
      <c r="J36" s="4" t="s">
        <v>235</v>
      </c>
      <c r="K36" s="7" t="s">
        <v>243</v>
      </c>
      <c r="L36" s="4"/>
    </row>
    <row r="37" spans="1:12" ht="17.100000000000001" customHeight="1">
      <c r="A37" s="3">
        <f>ROW(A37)-ROW($A$2)</f>
        <v>35</v>
      </c>
      <c r="B37" s="3" t="s">
        <v>38</v>
      </c>
      <c r="C37" s="3" t="s">
        <v>78</v>
      </c>
      <c r="D37" s="3" t="s">
        <v>95</v>
      </c>
      <c r="E37" s="3" t="s">
        <v>135</v>
      </c>
      <c r="F37" s="3" t="s">
        <v>38</v>
      </c>
      <c r="G37" s="3" t="s">
        <v>188</v>
      </c>
      <c r="H37" s="3">
        <v>1</v>
      </c>
      <c r="I37" s="3" t="s">
        <v>229</v>
      </c>
      <c r="J37" s="3" t="s">
        <v>235</v>
      </c>
      <c r="K37" s="6" t="s">
        <v>244</v>
      </c>
      <c r="L37" s="3"/>
    </row>
    <row r="38" spans="1:12" ht="17.100000000000001" customHeight="1">
      <c r="A38" s="4">
        <f>ROW(A38)-ROW($A$2)</f>
        <v>36</v>
      </c>
      <c r="B38" s="4" t="s">
        <v>39</v>
      </c>
      <c r="C38" s="4" t="s">
        <v>79</v>
      </c>
      <c r="D38" s="4" t="s">
        <v>96</v>
      </c>
      <c r="E38" s="4" t="s">
        <v>136</v>
      </c>
      <c r="F38" s="4" t="s">
        <v>39</v>
      </c>
      <c r="G38" s="4" t="s">
        <v>189</v>
      </c>
      <c r="H38" s="4">
        <v>1</v>
      </c>
      <c r="I38" s="4" t="s">
        <v>230</v>
      </c>
      <c r="J38" s="4" t="s">
        <v>235</v>
      </c>
      <c r="K38" s="7" t="s">
        <v>245</v>
      </c>
      <c r="L38" s="4"/>
    </row>
    <row r="39" spans="1:12" ht="17.100000000000001" customHeight="1">
      <c r="A39" s="3">
        <f>ROW(A39)-ROW($A$2)</f>
        <v>37</v>
      </c>
      <c r="B39" s="3" t="s">
        <v>40</v>
      </c>
      <c r="C39" s="3" t="s">
        <v>80</v>
      </c>
      <c r="D39" s="3" t="s">
        <v>97</v>
      </c>
      <c r="E39" s="3" t="s">
        <v>137</v>
      </c>
      <c r="F39" s="3" t="s">
        <v>170</v>
      </c>
      <c r="G39" s="3" t="s">
        <v>190</v>
      </c>
      <c r="H39" s="3">
        <v>1</v>
      </c>
      <c r="I39" s="3" t="s">
        <v>231</v>
      </c>
      <c r="J39" s="3" t="s">
        <v>235</v>
      </c>
      <c r="K39" s="6" t="s">
        <v>246</v>
      </c>
      <c r="L39" s="3"/>
    </row>
    <row r="40" spans="1:12" ht="17.100000000000001" customHeight="1">
      <c r="A40" s="4">
        <f>ROW(A40)-ROW($A$2)</f>
        <v>38</v>
      </c>
      <c r="B40" s="4" t="s">
        <v>41</v>
      </c>
      <c r="C40" s="4" t="s">
        <v>81</v>
      </c>
      <c r="D40" s="4" t="s">
        <v>98</v>
      </c>
      <c r="E40" s="4" t="s">
        <v>138</v>
      </c>
      <c r="F40" s="4" t="s">
        <v>171</v>
      </c>
      <c r="G40" s="4" t="s">
        <v>191</v>
      </c>
      <c r="H40" s="4">
        <v>1</v>
      </c>
      <c r="I40" s="4" t="s">
        <v>232</v>
      </c>
      <c r="J40" s="4" t="s">
        <v>235</v>
      </c>
      <c r="K40" s="7" t="s">
        <v>247</v>
      </c>
      <c r="L40" s="4"/>
    </row>
    <row r="41" spans="1:12">
      <c r="A41" s="3">
        <f>ROW(A41)-ROW($A$2)</f>
        <v>39</v>
      </c>
      <c r="B41" s="3" t="s">
        <v>42</v>
      </c>
      <c r="C41" s="3" t="s">
        <v>82</v>
      </c>
      <c r="D41" s="3" t="s">
        <v>99</v>
      </c>
      <c r="E41" s="3" t="s">
        <v>139</v>
      </c>
      <c r="F41" s="3" t="s">
        <v>172</v>
      </c>
      <c r="G41" s="3" t="s">
        <v>192</v>
      </c>
      <c r="H41" s="3">
        <v>1</v>
      </c>
      <c r="I41" s="3" t="s">
        <v>233</v>
      </c>
      <c r="J41" s="3" t="s">
        <v>235</v>
      </c>
      <c r="K41" s="6" t="s">
        <v>99</v>
      </c>
      <c r="L41" s="3"/>
    </row>
    <row r="43" spans="1:12" ht="12.75" customHeight="1"/>
  </sheetData>
  <autoFilter ref="A2:L41" xr:uid="{1E1120D4-1586-4DC7-BE89-0A6D29177F45}"/>
  <mergeCells count="1">
    <mergeCell ref="A1:L1"/>
  </mergeCells>
  <conditionalFormatting sqref="K3">
    <cfRule type="containsText" dxfId="20" priority="25" operator="containsText" text="Yes">
      <formula>NOT(ISERROR(SEARCH("Yes",K3)))</formula>
    </cfRule>
  </conditionalFormatting>
  <conditionalFormatting sqref="K5">
    <cfRule type="containsText" dxfId="18" priority="19" operator="containsText" text="Yes">
      <formula>NOT(ISERROR(SEARCH("Yes",K5)))</formula>
    </cfRule>
  </conditionalFormatting>
  <conditionalFormatting sqref="K7">
    <cfRule type="containsText" dxfId="17" priority="18" operator="containsText" text="Yes">
      <formula>NOT(ISERROR(SEARCH("Yes",K7)))</formula>
    </cfRule>
  </conditionalFormatting>
  <conditionalFormatting sqref="K9">
    <cfRule type="containsText" dxfId="16" priority="17" operator="containsText" text="Yes">
      <formula>NOT(ISERROR(SEARCH("Yes",K9)))</formula>
    </cfRule>
  </conditionalFormatting>
  <conditionalFormatting sqref="K11">
    <cfRule type="containsText" dxfId="15" priority="16" operator="containsText" text="Yes">
      <formula>NOT(ISERROR(SEARCH("Yes",K11)))</formula>
    </cfRule>
  </conditionalFormatting>
  <conditionalFormatting sqref="K13">
    <cfRule type="containsText" dxfId="14" priority="15" operator="containsText" text="Yes">
      <formula>NOT(ISERROR(SEARCH("Yes",K13)))</formula>
    </cfRule>
  </conditionalFormatting>
  <conditionalFormatting sqref="K15">
    <cfRule type="containsText" dxfId="13" priority="14" operator="containsText" text="Yes">
      <formula>NOT(ISERROR(SEARCH("Yes",K15)))</formula>
    </cfRule>
  </conditionalFormatting>
  <conditionalFormatting sqref="K17">
    <cfRule type="containsText" dxfId="12" priority="13" operator="containsText" text="Yes">
      <formula>NOT(ISERROR(SEARCH("Yes",K17)))</formula>
    </cfRule>
  </conditionalFormatting>
  <conditionalFormatting sqref="K19">
    <cfRule type="containsText" dxfId="11" priority="12" operator="containsText" text="Yes">
      <formula>NOT(ISERROR(SEARCH("Yes",K19)))</formula>
    </cfRule>
  </conditionalFormatting>
  <conditionalFormatting sqref="K21">
    <cfRule type="containsText" dxfId="10" priority="11" operator="containsText" text="Yes">
      <formula>NOT(ISERROR(SEARCH("Yes",K21)))</formula>
    </cfRule>
  </conditionalFormatting>
  <conditionalFormatting sqref="K23">
    <cfRule type="containsText" dxfId="9" priority="10" operator="containsText" text="Yes">
      <formula>NOT(ISERROR(SEARCH("Yes",K23)))</formula>
    </cfRule>
  </conditionalFormatting>
  <conditionalFormatting sqref="K25">
    <cfRule type="containsText" dxfId="8" priority="9" operator="containsText" text="Yes">
      <formula>NOT(ISERROR(SEARCH("Yes",K25)))</formula>
    </cfRule>
  </conditionalFormatting>
  <conditionalFormatting sqref="K27">
    <cfRule type="containsText" dxfId="7" priority="8" operator="containsText" text="Yes">
      <formula>NOT(ISERROR(SEARCH("Yes",K27)))</formula>
    </cfRule>
  </conditionalFormatting>
  <conditionalFormatting sqref="K29">
    <cfRule type="containsText" dxfId="6" priority="7" operator="containsText" text="Yes">
      <formula>NOT(ISERROR(SEARCH("Yes",K29)))</formula>
    </cfRule>
  </conditionalFormatting>
  <conditionalFormatting sqref="K31">
    <cfRule type="containsText" dxfId="5" priority="6" operator="containsText" text="Yes">
      <formula>NOT(ISERROR(SEARCH("Yes",K31)))</formula>
    </cfRule>
  </conditionalFormatting>
  <conditionalFormatting sqref="K33">
    <cfRule type="containsText" dxfId="4" priority="5" operator="containsText" text="Yes">
      <formula>NOT(ISERROR(SEARCH("Yes",K33)))</formula>
    </cfRule>
  </conditionalFormatting>
  <conditionalFormatting sqref="K35">
    <cfRule type="containsText" dxfId="3" priority="4" operator="containsText" text="Yes">
      <formula>NOT(ISERROR(SEARCH("Yes",K35)))</formula>
    </cfRule>
  </conditionalFormatting>
  <conditionalFormatting sqref="K37">
    <cfRule type="containsText" dxfId="2" priority="3" operator="containsText" text="Yes">
      <formula>NOT(ISERROR(SEARCH("Yes",K37)))</formula>
    </cfRule>
  </conditionalFormatting>
  <conditionalFormatting sqref="K39">
    <cfRule type="containsText" dxfId="1" priority="2" operator="containsText" text="Yes">
      <formula>NOT(ISERROR(SEARCH("Yes",K39)))</formula>
    </cfRule>
  </conditionalFormatting>
  <conditionalFormatting sqref="K41">
    <cfRule type="containsText" dxfId="0" priority="1" operator="containsText" text="Yes">
      <formula>NOT(ISERROR(SEARCH("Yes",K41)))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Administrator</cp:lastModifiedBy>
  <dcterms:created xsi:type="dcterms:W3CDTF">2019-07-31T07:14:21Z</dcterms:created>
  <dcterms:modified xsi:type="dcterms:W3CDTF">2026-05-10T12:49:32Z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